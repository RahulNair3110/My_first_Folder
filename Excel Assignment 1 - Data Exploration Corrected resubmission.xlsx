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05AF61AD-8476-4190-9F90-4452F09F9B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definedNames>
    <definedName name="_xlnm._FilterDatabase" localSheetId="2" hidden="1">Solutions!$A$1:$G$40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D4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4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D39" i="3"/>
  <c r="D38" i="3"/>
  <c r="D37" i="3"/>
  <c r="E36" i="3"/>
  <c r="D36" i="3"/>
</calcChain>
</file>

<file path=xl/sharedStrings.xml><?xml version="1.0" encoding="utf-8"?>
<sst xmlns="http://schemas.openxmlformats.org/spreadsheetml/2006/main" count="311" uniqueCount="120">
  <si>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</si>
  <si>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</si>
  <si>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</si>
  <si>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</si>
  <si>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</si>
  <si>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</si>
  <si>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</si>
  <si>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</si>
  <si>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</si>
  <si>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</si>
  <si>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</si>
  <si>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</si>
  <si>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</si>
  <si>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</si>
  <si>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</si>
  <si>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</si>
  <si>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</si>
  <si>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</si>
  <si>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</si>
  <si>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</si>
  <si>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</si>
  <si>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</si>
  <si>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</si>
  <si>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</si>
  <si>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</si>
  <si>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</si>
  <si>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</si>
  <si>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</si>
  <si>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</si>
  <si>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</si>
  <si>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</si>
  <si>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</si>
  <si>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</si>
  <si>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</si>
  <si>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</si>
  <si>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</si>
  <si>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</si>
  <si>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</si>
  <si>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</si>
  <si>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</si>
  <si>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</si>
  <si>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</si>
  <si>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</si>
  <si>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</si>
  <si>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</si>
  <si>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</si>
  <si>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</si>
  <si>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</si>
  <si>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</si>
  <si>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</si>
  <si>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</si>
  <si>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</si>
  <si>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</si>
  <si>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</si>
  <si>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</si>
  <si>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</si>
  <si>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</si>
  <si>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</si>
  <si>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</si>
  <si>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</si>
  <si>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</si>
  <si>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</si>
  <si>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</si>
  <si>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</si>
  <si>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</si>
  <si>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</si>
  <si>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</si>
  <si>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</si>
  <si>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</si>
  <si>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</si>
  <si>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</si>
  <si>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</si>
  <si>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</si>
  <si>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</si>
  <si>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</si>
  <si>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</si>
  <si>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</si>
  <si>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</si>
  <si>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</si>
  <si>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</si>
  <si>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</si>
  <si>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</si>
  <si>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</si>
  <si>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</si>
  <si>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</si>
  <si>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</si>
  <si>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</si>
  <si>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</si>
  <si>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</si>
  <si>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</si>
  <si>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</si>
  <si>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</si>
  <si>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</si>
  <si>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</si>
  <si>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</si>
  <si>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</si>
  <si>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</si>
  <si>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</si>
  <si>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</si>
  <si>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</si>
  <si>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</si>
  <si>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</si>
  <si>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</si>
  <si>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</si>
  <si>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</si>
  <si>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</si>
  <si>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</si>
  <si>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</si>
  <si>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</si>
  <si>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</si>
  <si>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Price</t>
  </si>
  <si>
    <t>Total Price of all Products</t>
  </si>
  <si>
    <t>Minimum price on all products</t>
  </si>
  <si>
    <t>Maximum price on all products</t>
  </si>
  <si>
    <t>Price Range</t>
  </si>
  <si>
    <t>Total Price of Electronics</t>
  </si>
  <si>
    <t>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</si>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</sst>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61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8" fillId="5" borderId="0" applyNumberFormat="0" applyBorder="0" applyAlignment="0" applyProtection="0"/>
    <xf numFmtId="0" fontId="9" fillId="6" borderId="1" applyNumberFormat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wrapText="1"/>
    </xf>
    <xf numFmtId="2" fontId="17" fillId="0" borderId="0" xfId="0" applyNumberFormat="1" applyFont="1"/>
    <xf numFmtId="0" fontId="17" fillId="0" borderId="0" xfId="0" applyFont="1"/>
    <xf numFmtId="0" fontId="9" fillId="6" borderId="1" xfId="2" applyAlignment="1">
      <alignment horizontal="center"/>
    </xf>
    <xf numFmtId="0" fontId="9" fillId="6" borderId="1" xfId="2"/>
    <xf numFmtId="0" fontId="8" fillId="5" borderId="0" xfId="1"/>
    <xf numFmtId="0" fontId="18" fillId="5" borderId="0" xfId="1" applyFont="1"/>
    <xf numFmtId="0" fontId="1" fillId="8" borderId="0" xfId="4"/>
    <xf numFmtId="0" fontId="11" fillId="8" borderId="0" xfId="4" applyFont="1" applyAlignment="1">
      <alignment wrapText="1"/>
    </xf>
    <xf numFmtId="0" fontId="12" fillId="7" borderId="0" xfId="3"/>
    <xf numFmtId="0" fontId="10" fillId="7" borderId="0" xfId="3" applyFont="1"/>
  </cellXfs>
  <cellStyles count="5">
    <cellStyle name="60% - Accent3" xfId="4" builtinId="40"/>
    <cellStyle name="Accent1" xfId="3" builtinId="29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10" sqref="G1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B9A6-85BE-413C-A5D4-CFF1CF1B8B8A}">
  <dimension ref="A1:J1000"/>
  <sheetViews>
    <sheetView tabSelected="1" topLeftCell="A16" workbookViewId="0">
      <selection activeCell="G34" sqref="G34"/>
    </sheetView>
  </sheetViews>
  <sheetFormatPr defaultColWidth="12.6640625" defaultRowHeight="13.2" x14ac:dyDescent="0.25"/>
  <cols>
    <col min="1" max="1" width="40" bestFit="1" customWidth="1"/>
    <col min="2" max="2" width="14.109375" customWidth="1"/>
    <col min="7" max="7" width="15.33203125" bestFit="1" customWidth="1"/>
    <col min="9" max="9" width="14.5546875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114</v>
      </c>
      <c r="H1" s="19" t="s">
        <v>117</v>
      </c>
      <c r="I1" s="21" t="s">
        <v>118</v>
      </c>
      <c r="J1" s="23" t="s">
        <v>119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7" t="str">
        <f>IF(D2&gt;=500,"HighPrice", "Standard Price")</f>
        <v>HighPrice</v>
      </c>
      <c r="H2" s="18" t="str">
        <f>LEFT(A2,2)</f>
        <v>28</v>
      </c>
      <c r="I2" s="20" t="str">
        <f>RIGHT(A2,2)</f>
        <v>US</v>
      </c>
      <c r="J2" s="22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7" t="str">
        <f t="shared" ref="G3:G35" si="0">IF(D3&gt;=500,"HighPrice", "Standard Price")</f>
        <v>Standard Price</v>
      </c>
      <c r="H3" s="18" t="str">
        <f t="shared" ref="H3:H35" si="1">LEFT(A3,2)</f>
        <v>15</v>
      </c>
      <c r="I3" s="20" t="str">
        <f t="shared" ref="I3:I35" si="2">RIGHT(A3,2)</f>
        <v>US</v>
      </c>
      <c r="J3" s="22" t="str">
        <f t="shared" ref="J3:J35" si="3">MID(A3,4,3)</f>
        <v>FEB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7" t="str">
        <f t="shared" si="0"/>
        <v>Standard Price</v>
      </c>
      <c r="H4" s="18" t="str">
        <f t="shared" si="1"/>
        <v>03</v>
      </c>
      <c r="I4" s="20" t="str">
        <f t="shared" si="2"/>
        <v>US</v>
      </c>
      <c r="J4" s="22" t="str">
        <f t="shared" si="3"/>
        <v>MAR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7" t="str">
        <f t="shared" si="0"/>
        <v>HighPrice</v>
      </c>
      <c r="H5" s="18" t="str">
        <f t="shared" si="1"/>
        <v>11</v>
      </c>
      <c r="I5" s="20" t="str">
        <f t="shared" si="2"/>
        <v>US</v>
      </c>
      <c r="J5" s="22" t="str">
        <f t="shared" si="3"/>
        <v>APR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7" t="str">
        <f t="shared" si="0"/>
        <v>Standard Price</v>
      </c>
      <c r="H6" s="18" t="str">
        <f t="shared" si="1"/>
        <v>22</v>
      </c>
      <c r="I6" s="20" t="str">
        <f t="shared" si="2"/>
        <v>US</v>
      </c>
      <c r="J6" s="22" t="str">
        <f t="shared" si="3"/>
        <v>MAY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7" t="str">
        <f t="shared" si="0"/>
        <v>Standard Price</v>
      </c>
      <c r="H7" s="18" t="str">
        <f t="shared" si="1"/>
        <v>07</v>
      </c>
      <c r="I7" s="20" t="str">
        <f t="shared" si="2"/>
        <v>UK</v>
      </c>
      <c r="J7" s="22" t="str">
        <f t="shared" si="3"/>
        <v>JUN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7" t="str">
        <f t="shared" si="0"/>
        <v>Standard Price</v>
      </c>
      <c r="H8" s="18" t="str">
        <f t="shared" si="1"/>
        <v>19</v>
      </c>
      <c r="I8" s="20" t="str">
        <f t="shared" si="2"/>
        <v>UK</v>
      </c>
      <c r="J8" s="22" t="str">
        <f t="shared" si="3"/>
        <v>JUL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7" t="str">
        <f t="shared" si="0"/>
        <v>Standard Price</v>
      </c>
      <c r="H9" s="18" t="str">
        <f t="shared" si="1"/>
        <v>23</v>
      </c>
      <c r="I9" s="20" t="str">
        <f t="shared" si="2"/>
        <v>UK</v>
      </c>
      <c r="J9" s="22" t="str">
        <f t="shared" si="3"/>
        <v>AUG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7" t="str">
        <f t="shared" si="0"/>
        <v>HighPrice</v>
      </c>
      <c r="H10" s="18" t="str">
        <f t="shared" si="1"/>
        <v>05</v>
      </c>
      <c r="I10" s="20" t="str">
        <f t="shared" si="2"/>
        <v>UK</v>
      </c>
      <c r="J10" s="22" t="str">
        <f t="shared" si="3"/>
        <v>SEP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7" t="str">
        <f t="shared" si="0"/>
        <v>Standard Price</v>
      </c>
      <c r="H11" s="18" t="str">
        <f t="shared" si="1"/>
        <v>14</v>
      </c>
      <c r="I11" s="20" t="str">
        <f t="shared" si="2"/>
        <v>UK</v>
      </c>
      <c r="J11" s="22" t="str">
        <f t="shared" si="3"/>
        <v>OCT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7" t="str">
        <f t="shared" si="0"/>
        <v>HighPrice</v>
      </c>
      <c r="H12" s="18" t="str">
        <f t="shared" si="1"/>
        <v>17</v>
      </c>
      <c r="I12" s="20" t="str">
        <f t="shared" si="2"/>
        <v>IN</v>
      </c>
      <c r="J12" s="22" t="str">
        <f t="shared" si="3"/>
        <v>JUN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7" t="str">
        <f t="shared" si="0"/>
        <v>Standard Price</v>
      </c>
      <c r="H13" s="18" t="str">
        <f t="shared" si="1"/>
        <v>25</v>
      </c>
      <c r="I13" s="20" t="str">
        <f t="shared" si="2"/>
        <v>AU</v>
      </c>
      <c r="J13" s="22" t="str">
        <f t="shared" si="3"/>
        <v>NOV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7" t="str">
        <f t="shared" si="0"/>
        <v>Standard Price</v>
      </c>
      <c r="H14" s="18" t="str">
        <f t="shared" si="1"/>
        <v>08</v>
      </c>
      <c r="I14" s="20" t="str">
        <f t="shared" si="2"/>
        <v>DE</v>
      </c>
      <c r="J14" s="22" t="str">
        <f t="shared" si="3"/>
        <v>DEC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7" t="str">
        <f t="shared" si="0"/>
        <v>Standard Price</v>
      </c>
      <c r="H15" s="18" t="str">
        <f t="shared" si="1"/>
        <v>18</v>
      </c>
      <c r="I15" s="20" t="str">
        <f t="shared" si="2"/>
        <v>CA</v>
      </c>
      <c r="J15" s="22" t="str">
        <f t="shared" si="3"/>
        <v>FEB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7" t="str">
        <f t="shared" si="0"/>
        <v>Standard Price</v>
      </c>
      <c r="H16" s="18" t="str">
        <f t="shared" si="1"/>
        <v>16</v>
      </c>
      <c r="I16" s="20" t="str">
        <f t="shared" si="2"/>
        <v>ES</v>
      </c>
      <c r="J16" s="22" t="str">
        <f t="shared" si="3"/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7" t="str">
        <f t="shared" si="0"/>
        <v>Standard Price</v>
      </c>
      <c r="H17" s="18" t="str">
        <f t="shared" si="1"/>
        <v>21</v>
      </c>
      <c r="I17" s="20" t="str">
        <f t="shared" si="2"/>
        <v>CA</v>
      </c>
      <c r="J17" s="22" t="str">
        <f t="shared" si="3"/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7" t="str">
        <f t="shared" si="0"/>
        <v>Standard Price</v>
      </c>
      <c r="H18" s="18" t="str">
        <f t="shared" si="1"/>
        <v>20</v>
      </c>
      <c r="I18" s="20" t="str">
        <f t="shared" si="2"/>
        <v>CN</v>
      </c>
      <c r="J18" s="22" t="str">
        <f t="shared" si="3"/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7" t="str">
        <f t="shared" si="0"/>
        <v>HighPrice</v>
      </c>
      <c r="H19" s="18" t="str">
        <f t="shared" si="1"/>
        <v>27</v>
      </c>
      <c r="I19" s="20" t="str">
        <f t="shared" si="2"/>
        <v>IT</v>
      </c>
      <c r="J19" s="22" t="str">
        <f t="shared" si="3"/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7" t="str">
        <f t="shared" si="0"/>
        <v>Standard Price</v>
      </c>
      <c r="H20" s="18" t="str">
        <f t="shared" si="1"/>
        <v>01</v>
      </c>
      <c r="I20" s="20" t="str">
        <f t="shared" si="2"/>
        <v>UK</v>
      </c>
      <c r="J20" s="22" t="str">
        <f t="shared" si="3"/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7" t="str">
        <f t="shared" si="0"/>
        <v>Standard Price</v>
      </c>
      <c r="H21" s="18" t="str">
        <f t="shared" si="1"/>
        <v>14</v>
      </c>
      <c r="I21" s="20" t="str">
        <f t="shared" si="2"/>
        <v>US</v>
      </c>
      <c r="J21" s="22" t="str">
        <f t="shared" si="3"/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7" t="str">
        <f t="shared" si="0"/>
        <v>HighPrice</v>
      </c>
      <c r="H22" s="18" t="str">
        <f t="shared" si="1"/>
        <v>14</v>
      </c>
      <c r="I22" s="20" t="str">
        <f t="shared" si="2"/>
        <v>RU</v>
      </c>
      <c r="J22" s="22" t="str">
        <f t="shared" si="3"/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7" t="str">
        <f t="shared" si="0"/>
        <v>Standard Price</v>
      </c>
      <c r="H23" s="18" t="str">
        <f t="shared" si="1"/>
        <v>09</v>
      </c>
      <c r="I23" s="20" t="str">
        <f t="shared" si="2"/>
        <v>CA</v>
      </c>
      <c r="J23" s="22" t="str">
        <f t="shared" si="3"/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7" t="str">
        <f t="shared" si="0"/>
        <v>Standard Price</v>
      </c>
      <c r="H24" s="18" t="str">
        <f t="shared" si="1"/>
        <v>19</v>
      </c>
      <c r="I24" s="20" t="str">
        <f t="shared" si="2"/>
        <v>BR</v>
      </c>
      <c r="J24" s="22" t="str">
        <f t="shared" si="3"/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7" t="str">
        <f t="shared" si="0"/>
        <v>Standard Price</v>
      </c>
      <c r="H25" s="18" t="str">
        <f t="shared" si="1"/>
        <v>21</v>
      </c>
      <c r="I25" s="20" t="str">
        <f t="shared" si="2"/>
        <v>CA</v>
      </c>
      <c r="J25" s="22" t="str">
        <f t="shared" si="3"/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7" t="str">
        <f t="shared" si="0"/>
        <v>HighPrice</v>
      </c>
      <c r="H26" s="18" t="str">
        <f t="shared" si="1"/>
        <v>29</v>
      </c>
      <c r="I26" s="20" t="str">
        <f t="shared" si="2"/>
        <v>CA</v>
      </c>
      <c r="J26" s="22" t="str">
        <f t="shared" si="3"/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7" t="str">
        <f t="shared" si="0"/>
        <v>Standard Price</v>
      </c>
      <c r="H27" s="18" t="str">
        <f t="shared" si="1"/>
        <v>03</v>
      </c>
      <c r="I27" s="20" t="str">
        <f t="shared" si="2"/>
        <v>CA</v>
      </c>
      <c r="J27" s="22" t="str">
        <f t="shared" si="3"/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7" t="str">
        <f t="shared" si="0"/>
        <v>Standard Price</v>
      </c>
      <c r="H28" s="18" t="str">
        <f t="shared" si="1"/>
        <v>11</v>
      </c>
      <c r="I28" s="20" t="str">
        <f t="shared" si="2"/>
        <v>CA</v>
      </c>
      <c r="J28" s="22" t="str">
        <f t="shared" si="3"/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7" t="str">
        <f t="shared" si="0"/>
        <v>Standard Price</v>
      </c>
      <c r="H29" s="18" t="str">
        <f t="shared" si="1"/>
        <v>16</v>
      </c>
      <c r="I29" s="20" t="str">
        <f t="shared" si="2"/>
        <v>ES</v>
      </c>
      <c r="J29" s="22" t="str">
        <f t="shared" si="3"/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7" t="str">
        <f t="shared" si="0"/>
        <v>Standard Price</v>
      </c>
      <c r="H30" s="18" t="str">
        <f t="shared" si="1"/>
        <v>07</v>
      </c>
      <c r="I30" s="20" t="str">
        <f t="shared" si="2"/>
        <v>CA</v>
      </c>
      <c r="J30" s="22" t="str">
        <f t="shared" si="3"/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7" t="str">
        <f t="shared" si="0"/>
        <v>Standard Price</v>
      </c>
      <c r="H31" s="18" t="str">
        <f t="shared" si="1"/>
        <v>13</v>
      </c>
      <c r="I31" s="20" t="str">
        <f t="shared" si="2"/>
        <v>CA</v>
      </c>
      <c r="J31" s="22" t="str">
        <f t="shared" si="3"/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7" t="str">
        <f t="shared" si="0"/>
        <v>Standard Price</v>
      </c>
      <c r="H32" s="18" t="str">
        <f t="shared" si="1"/>
        <v>24</v>
      </c>
      <c r="I32" s="20" t="str">
        <f t="shared" si="2"/>
        <v>CA</v>
      </c>
      <c r="J32" s="22" t="str">
        <f t="shared" si="3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7" t="str">
        <f t="shared" si="0"/>
        <v>Standard Price</v>
      </c>
      <c r="H33" s="18" t="str">
        <f t="shared" si="1"/>
        <v>02</v>
      </c>
      <c r="I33" s="20" t="str">
        <f t="shared" si="2"/>
        <v>CA</v>
      </c>
      <c r="J33" s="22" t="str">
        <f t="shared" si="3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7" t="str">
        <f t="shared" si="0"/>
        <v>HighPrice</v>
      </c>
      <c r="H34" s="18" t="str">
        <f t="shared" si="1"/>
        <v>17</v>
      </c>
      <c r="I34" s="20" t="str">
        <f t="shared" si="2"/>
        <v>IN</v>
      </c>
      <c r="J34" s="22" t="str">
        <f t="shared" si="3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7" t="str">
        <f t="shared" si="0"/>
        <v>Standard Price</v>
      </c>
      <c r="H35" s="18" t="str">
        <f t="shared" si="1"/>
        <v>09</v>
      </c>
      <c r="I35" s="20" t="str">
        <f t="shared" si="2"/>
        <v>FR</v>
      </c>
      <c r="J35" s="22" t="str">
        <f t="shared" si="3"/>
        <v>JUL</v>
      </c>
    </row>
    <row r="36" spans="1:10" ht="21" x14ac:dyDescent="0.4">
      <c r="A36" s="10" t="s">
        <v>111</v>
      </c>
      <c r="D36" s="12">
        <f>SUM(D2:D35)</f>
        <v>10100</v>
      </c>
      <c r="E36" s="12">
        <f>SUM(E2:E35)</f>
        <v>900</v>
      </c>
    </row>
    <row r="37" spans="1:10" ht="15.75" customHeight="1" x14ac:dyDescent="0.4">
      <c r="A37" s="13" t="s">
        <v>110</v>
      </c>
      <c r="D37" s="14">
        <f>AVERAGE(D2:D35)</f>
        <v>297.05882352941177</v>
      </c>
    </row>
    <row r="38" spans="1:10" ht="15.75" customHeight="1" x14ac:dyDescent="0.3">
      <c r="A38" s="15" t="s">
        <v>112</v>
      </c>
      <c r="D38" s="12">
        <f>MIN(D2:D35)</f>
        <v>30</v>
      </c>
    </row>
    <row r="39" spans="1:10" ht="15.75" customHeight="1" x14ac:dyDescent="0.3">
      <c r="A39" s="11" t="s">
        <v>113</v>
      </c>
      <c r="D39" s="12">
        <f>MAX(D2:D35)</f>
        <v>1000</v>
      </c>
    </row>
    <row r="40" spans="1:10" ht="15.75" customHeight="1" x14ac:dyDescent="0.3">
      <c r="A40" s="11" t="s">
        <v>115</v>
      </c>
      <c r="D40" s="12">
        <f>SUMIF(F2:F35,"Electronics",D2:D35)</f>
        <v>8050</v>
      </c>
    </row>
    <row r="41" spans="1:10" ht="15.75" customHeight="1" x14ac:dyDescent="0.3">
      <c r="A41" s="11" t="s">
        <v>116</v>
      </c>
      <c r="D41" s="12">
        <f>COUNTIF(D2:D35,"&lt;100")</f>
        <v>11</v>
      </c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Nair</cp:lastModifiedBy>
  <dcterms:created xsi:type="dcterms:W3CDTF">2026-09-26T05:15:39Z</dcterms:created>
  <dcterms:modified xsi:type="dcterms:W3CDTF">2026-09-26T05:15:39Z</dcterms:modified>
</cp:coreProperties>
</file>